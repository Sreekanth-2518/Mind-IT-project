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Marks" sheetId="1" state="visible" r:id="rId3"/>
    <sheet name="Summary Statistics" sheetId="2" state="visible" r:id="rId4"/>
    <sheet name="Term-wise Perform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<sst xmlns="http://schemas.openxmlformats.org/spreadsheetml/2006/main" count="292" uniqueCount="139">
  <si>
    <t xml:space="preserve">Student ID</t>
  </si>
  <si>
    <t xml:space="preserve">Student Name</t>
  </si>
  <si>
    <t xml:space="preserve">Gender</t>
  </si>
  <si>
    <t xml:space="preserve">Maths</t>
  </si>
  <si>
    <t xml:space="preserve">Science</t>
  </si>
  <si>
    <t xml:space="preserve">English</t>
  </si>
  <si>
    <t xml:space="preserve">History</t>
  </si>
  <si>
    <t xml:space="preserve">Computer Science</t>
  </si>
  <si>
    <t xml:space="preserve">Total</t>
  </si>
  <si>
    <t xml:space="preserve">Average</t>
  </si>
  <si>
    <t xml:space="preserve">Grade</t>
  </si>
  <si>
    <t xml:space="preserve">Result</t>
  </si>
  <si>
    <t xml:space="preserve">S001</t>
  </si>
  <si>
    <t xml:space="preserve">Aarav Sharma</t>
  </si>
  <si>
    <t xml:space="preserve">M</t>
  </si>
  <si>
    <t xml:space="preserve">A</t>
  </si>
  <si>
    <t xml:space="preserve">Pass</t>
  </si>
  <si>
    <t xml:space="preserve">S002</t>
  </si>
  <si>
    <t xml:space="preserve">Priya Nair</t>
  </si>
  <si>
    <t xml:space="preserve">F</t>
  </si>
  <si>
    <t xml:space="preserve">A+</t>
  </si>
  <si>
    <t xml:space="preserve">S003</t>
  </si>
  <si>
    <t xml:space="preserve">Rohan Mehta</t>
  </si>
  <si>
    <t xml:space="preserve">C</t>
  </si>
  <si>
    <t xml:space="preserve">S004</t>
  </si>
  <si>
    <t xml:space="preserve">Ananya Singh</t>
  </si>
  <si>
    <t xml:space="preserve">S005</t>
  </si>
  <si>
    <t xml:space="preserve">Karthik Raj</t>
  </si>
  <si>
    <t xml:space="preserve">S006</t>
  </si>
  <si>
    <t xml:space="preserve">Divya Menon</t>
  </si>
  <si>
    <t xml:space="preserve">S007</t>
  </si>
  <si>
    <t xml:space="preserve">Arjun Patel</t>
  </si>
  <si>
    <t xml:space="preserve">B</t>
  </si>
  <si>
    <t xml:space="preserve">S008</t>
  </si>
  <si>
    <t xml:space="preserve">Sneha Iyer</t>
  </si>
  <si>
    <t xml:space="preserve">D</t>
  </si>
  <si>
    <t xml:space="preserve">S009</t>
  </si>
  <si>
    <t xml:space="preserve">Vikram Das</t>
  </si>
  <si>
    <t xml:space="preserve">S010</t>
  </si>
  <si>
    <t xml:space="preserve">Meera Pillai</t>
  </si>
  <si>
    <t xml:space="preserve">S011</t>
  </si>
  <si>
    <t xml:space="preserve">Suresh Kumar</t>
  </si>
  <si>
    <t xml:space="preserve">S012</t>
  </si>
  <si>
    <t xml:space="preserve">Lakshmi Rao</t>
  </si>
  <si>
    <t xml:space="preserve">S013</t>
  </si>
  <si>
    <t xml:space="preserve">Nikhil Joshi</t>
  </si>
  <si>
    <t xml:space="preserve">S014</t>
  </si>
  <si>
    <t xml:space="preserve">Pooja Verma</t>
  </si>
  <si>
    <t xml:space="preserve">S015</t>
  </si>
  <si>
    <t xml:space="preserve">Rahul Gupta</t>
  </si>
  <si>
    <t xml:space="preserve">S016</t>
  </si>
  <si>
    <t xml:space="preserve">Aishwarya Reddy</t>
  </si>
  <si>
    <t xml:space="preserve">S017</t>
  </si>
  <si>
    <t xml:space="preserve">Sanjay Mishra</t>
  </si>
  <si>
    <t xml:space="preserve">S018</t>
  </si>
  <si>
    <t xml:space="preserve">Kavya Bhat</t>
  </si>
  <si>
    <t xml:space="preserve">S019</t>
  </si>
  <si>
    <t xml:space="preserve">Deepak Nair</t>
  </si>
  <si>
    <t xml:space="preserve">S020</t>
  </si>
  <si>
    <t xml:space="preserve">Shreya Pillai</t>
  </si>
  <si>
    <t xml:space="preserve">S021</t>
  </si>
  <si>
    <t xml:space="preserve">Akash Tiwari</t>
  </si>
  <si>
    <t xml:space="preserve">S022</t>
  </si>
  <si>
    <t xml:space="preserve">Ritu Sharma</t>
  </si>
  <si>
    <t xml:space="preserve">S023</t>
  </si>
  <si>
    <t xml:space="preserve">Manish Singh</t>
  </si>
  <si>
    <t xml:space="preserve">S024</t>
  </si>
  <si>
    <t xml:space="preserve">Anju Menon</t>
  </si>
  <si>
    <t xml:space="preserve">S025</t>
  </si>
  <si>
    <t xml:space="preserve">Pranav Raj</t>
  </si>
  <si>
    <t xml:space="preserve">S026</t>
  </si>
  <si>
    <t xml:space="preserve">Nithya Kumar</t>
  </si>
  <si>
    <t xml:space="preserve">S027</t>
  </si>
  <si>
    <t xml:space="preserve">Siddharth Rao</t>
  </si>
  <si>
    <t xml:space="preserve">S028</t>
  </si>
  <si>
    <t xml:space="preserve">Gayathri Iyer</t>
  </si>
  <si>
    <t xml:space="preserve">S029</t>
  </si>
  <si>
    <t xml:space="preserve">Arun Pillai</t>
  </si>
  <si>
    <t xml:space="preserve">Fail</t>
  </si>
  <si>
    <t xml:space="preserve">S030</t>
  </si>
  <si>
    <t xml:space="preserve">Swathi Verma</t>
  </si>
  <si>
    <t xml:space="preserve">S031</t>
  </si>
  <si>
    <t xml:space="preserve">Harish Joshi</t>
  </si>
  <si>
    <t xml:space="preserve">S032</t>
  </si>
  <si>
    <t xml:space="preserve">Renuka Das</t>
  </si>
  <si>
    <t xml:space="preserve">S033</t>
  </si>
  <si>
    <t xml:space="preserve">Vishal Gupta</t>
  </si>
  <si>
    <t xml:space="preserve">S034</t>
  </si>
  <si>
    <t xml:space="preserve">Priyanka Reddy</t>
  </si>
  <si>
    <t xml:space="preserve">S035</t>
  </si>
  <si>
    <t xml:space="preserve">Ajay Mishra</t>
  </si>
  <si>
    <t xml:space="preserve">S036</t>
  </si>
  <si>
    <t xml:space="preserve">Sangeetha Bhat</t>
  </si>
  <si>
    <t xml:space="preserve">S037</t>
  </si>
  <si>
    <t xml:space="preserve">Ravi Nair</t>
  </si>
  <si>
    <t xml:space="preserve">S038</t>
  </si>
  <si>
    <t xml:space="preserve">Deepa Tiwari</t>
  </si>
  <si>
    <t xml:space="preserve">S039</t>
  </si>
  <si>
    <t xml:space="preserve">Ganesh Singh</t>
  </si>
  <si>
    <t xml:space="preserve">S040</t>
  </si>
  <si>
    <t xml:space="preserve">Kavitha Pillai</t>
  </si>
  <si>
    <t xml:space="preserve">S041</t>
  </si>
  <si>
    <t xml:space="preserve">Mohan Kumar</t>
  </si>
  <si>
    <t xml:space="preserve">S042</t>
  </si>
  <si>
    <t xml:space="preserve">Saranya Rao</t>
  </si>
  <si>
    <t xml:space="preserve">S043</t>
  </si>
  <si>
    <t xml:space="preserve">Vignesh Iyer</t>
  </si>
  <si>
    <t xml:space="preserve">S044</t>
  </si>
  <si>
    <t xml:space="preserve">Hema Sharma</t>
  </si>
  <si>
    <t xml:space="preserve">S045</t>
  </si>
  <si>
    <t xml:space="preserve">Balamurugan M</t>
  </si>
  <si>
    <t xml:space="preserve">S046</t>
  </si>
  <si>
    <t xml:space="preserve">Lavanya Reddy</t>
  </si>
  <si>
    <t xml:space="preserve">S047</t>
  </si>
  <si>
    <t xml:space="preserve">Santosh Joshi</t>
  </si>
  <si>
    <t xml:space="preserve">S048</t>
  </si>
  <si>
    <t xml:space="preserve">Uma Gupta</t>
  </si>
  <si>
    <t xml:space="preserve">S049</t>
  </si>
  <si>
    <t xml:space="preserve">Chandru Das</t>
  </si>
  <si>
    <t xml:space="preserve">S050</t>
  </si>
  <si>
    <t xml:space="preserve">Nandini Pillai</t>
  </si>
  <si>
    <t xml:space="preserve">Subject-wise Statistics</t>
  </si>
  <si>
    <t xml:space="preserve">Subject</t>
  </si>
  <si>
    <t xml:space="preserve">Min</t>
  </si>
  <si>
    <t xml:space="preserve">Max</t>
  </si>
  <si>
    <t xml:space="preserve">Pass Count</t>
  </si>
  <si>
    <t xml:space="preserve">Fail Count</t>
  </si>
  <si>
    <t xml:space="preserve">Pass %</t>
  </si>
  <si>
    <t xml:space="preserve">Overall Class Statistics</t>
  </si>
  <si>
    <t xml:space="preserve">Total Students</t>
  </si>
  <si>
    <t xml:space="preserve">Students Passed</t>
  </si>
  <si>
    <t xml:space="preserve">Students Failed</t>
  </si>
  <si>
    <t xml:space="preserve">Pass Rate (%)</t>
  </si>
  <si>
    <t xml:space="preserve">Class Average</t>
  </si>
  <si>
    <t xml:space="preserve">Highest Average</t>
  </si>
  <si>
    <t xml:space="preserve">Lowest Average</t>
  </si>
  <si>
    <t xml:space="preserve">Term 1</t>
  </si>
  <si>
    <t xml:space="preserve">Term 2</t>
  </si>
  <si>
    <t xml:space="preserve">Term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</si>
</sst>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D6A3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3"/>
      <color rgb="FF1D4E89"/>
      <name val="Arial"/>
      <family val="0"/>
      <charset val="1"/>
    </font>
    <font>
      <b val="true"/>
      <sz val="12"/>
      <color rgb="FF1D4E8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AF2FB"/>
        <bgColor rgb="FFFFFFFF"/>
      </patternFill>
    </fill>
    <fill>
      <patternFill patternType="solid">
        <fgColor rgb="FFFFFFFF"/>
        <bgColor rgb="FFEAF2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12" min="4" style="0" width="1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3" t="n">
        <v>85</v>
      </c>
      <c r="E2" s="3" t="n">
        <v>78</v>
      </c>
      <c r="F2" s="3" t="n">
        <v>90</v>
      </c>
      <c r="G2" s="3" t="n">
        <v>72</v>
      </c>
      <c r="H2" s="3" t="n">
        <v>88</v>
      </c>
      <c r="I2" s="3" t="n">
        <f aca="false">D2+E2+F2+G2+H2</f>
        <v>413</v>
      </c>
      <c r="J2" s="3" t="n">
        <f aca="false">I2/5</f>
        <v>82.6</v>
      </c>
      <c r="K2" s="4" t="s">
        <v>15</v>
      </c>
      <c r="L2" s="3" t="s">
        <v>16</v>
      </c>
    </row>
    <row r="3" customFormat="false" ht="15" hidden="false" customHeight="false" outlineLevel="0" collapsed="false">
      <c r="A3" s="5" t="s">
        <v>17</v>
      </c>
      <c r="B3" s="5" t="s">
        <v>18</v>
      </c>
      <c r="C3" s="5" t="s">
        <v>19</v>
      </c>
      <c r="D3" s="6" t="n">
        <v>92</v>
      </c>
      <c r="E3" s="6" t="n">
        <v>88</v>
      </c>
      <c r="F3" s="6" t="n">
        <v>95</v>
      </c>
      <c r="G3" s="6" t="n">
        <v>85</v>
      </c>
      <c r="H3" s="6" t="n">
        <v>91</v>
      </c>
      <c r="I3" s="6" t="n">
        <f aca="false">D3+E3+F3+G3+H3</f>
        <v>451</v>
      </c>
      <c r="J3" s="6" t="n">
        <f aca="false">I3/5</f>
        <v>90.2</v>
      </c>
      <c r="K3" s="7" t="s">
        <v>20</v>
      </c>
      <c r="L3" s="6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14</v>
      </c>
      <c r="D4" s="3" t="n">
        <v>60</v>
      </c>
      <c r="E4" s="3" t="n">
        <v>55</v>
      </c>
      <c r="F4" s="3" t="n">
        <v>65</v>
      </c>
      <c r="G4" s="3" t="n">
        <v>58</v>
      </c>
      <c r="H4" s="3" t="n">
        <v>70</v>
      </c>
      <c r="I4" s="3" t="n">
        <f aca="false">D4+E4+F4+G4+H4</f>
        <v>308</v>
      </c>
      <c r="J4" s="3" t="n">
        <f aca="false">I4/5</f>
        <v>61.6</v>
      </c>
      <c r="K4" s="3" t="s">
        <v>23</v>
      </c>
      <c r="L4" s="3" t="s">
        <v>16</v>
      </c>
    </row>
    <row r="5" customFormat="false" ht="15" hidden="false" customHeight="false" outlineLevel="0" collapsed="false">
      <c r="A5" s="5" t="s">
        <v>24</v>
      </c>
      <c r="B5" s="5" t="s">
        <v>25</v>
      </c>
      <c r="C5" s="5" t="s">
        <v>19</v>
      </c>
      <c r="D5" s="6" t="n">
        <v>78</v>
      </c>
      <c r="E5" s="6" t="n">
        <v>82</v>
      </c>
      <c r="F5" s="6" t="n">
        <v>75</v>
      </c>
      <c r="G5" s="6" t="n">
        <v>80</v>
      </c>
      <c r="H5" s="6" t="n">
        <v>85</v>
      </c>
      <c r="I5" s="6" t="n">
        <f aca="false">D5+E5+F5+G5+H5</f>
        <v>400</v>
      </c>
      <c r="J5" s="6" t="n">
        <f aca="false">I5/5</f>
        <v>80</v>
      </c>
      <c r="K5" s="7" t="s">
        <v>15</v>
      </c>
      <c r="L5" s="6" t="s">
        <v>16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14</v>
      </c>
      <c r="D6" s="3" t="n">
        <v>45</v>
      </c>
      <c r="E6" s="3" t="n">
        <v>50</v>
      </c>
      <c r="F6" s="3" t="n">
        <v>40</v>
      </c>
      <c r="G6" s="3" t="n">
        <v>48</v>
      </c>
      <c r="H6" s="3" t="n">
        <v>55</v>
      </c>
      <c r="I6" s="3" t="n">
        <f aca="false">D6+E6+F6+G6+H6</f>
        <v>238</v>
      </c>
      <c r="J6" s="3" t="n">
        <f aca="false">I6/5</f>
        <v>47.6</v>
      </c>
      <c r="K6" s="8" t="s">
        <v>19</v>
      </c>
      <c r="L6" s="8" t="s">
        <v>16</v>
      </c>
    </row>
    <row r="7" customFormat="false" ht="15" hidden="false" customHeight="false" outlineLevel="0" collapsed="false">
      <c r="A7" s="5" t="s">
        <v>28</v>
      </c>
      <c r="B7" s="5" t="s">
        <v>29</v>
      </c>
      <c r="C7" s="5" t="s">
        <v>19</v>
      </c>
      <c r="D7" s="6" t="n">
        <v>88</v>
      </c>
      <c r="E7" s="6" t="n">
        <v>91</v>
      </c>
      <c r="F7" s="6" t="n">
        <v>84</v>
      </c>
      <c r="G7" s="6" t="n">
        <v>89</v>
      </c>
      <c r="H7" s="6" t="n">
        <v>93</v>
      </c>
      <c r="I7" s="6" t="n">
        <f aca="false">D7+E7+F7+G7+H7</f>
        <v>445</v>
      </c>
      <c r="J7" s="6" t="n">
        <f aca="false">I7/5</f>
        <v>89</v>
      </c>
      <c r="K7" s="7" t="s">
        <v>15</v>
      </c>
      <c r="L7" s="6" t="s">
        <v>16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14</v>
      </c>
      <c r="D8" s="3" t="n">
        <v>72</v>
      </c>
      <c r="E8" s="3" t="n">
        <v>68</v>
      </c>
      <c r="F8" s="3" t="n">
        <v>76</v>
      </c>
      <c r="G8" s="3" t="n">
        <v>65</v>
      </c>
      <c r="H8" s="3" t="n">
        <v>74</v>
      </c>
      <c r="I8" s="3" t="n">
        <f aca="false">D8+E8+F8+G8+H8</f>
        <v>355</v>
      </c>
      <c r="J8" s="3" t="n">
        <f aca="false">I8/5</f>
        <v>71</v>
      </c>
      <c r="K8" s="3" t="s">
        <v>32</v>
      </c>
      <c r="L8" s="3" t="s">
        <v>16</v>
      </c>
    </row>
    <row r="9" customFormat="false" ht="15" hidden="false" customHeight="false" outlineLevel="0" collapsed="false">
      <c r="A9" s="5" t="s">
        <v>33</v>
      </c>
      <c r="B9" s="5" t="s">
        <v>34</v>
      </c>
      <c r="C9" s="5" t="s">
        <v>19</v>
      </c>
      <c r="D9" s="6" t="n">
        <v>55</v>
      </c>
      <c r="E9" s="6" t="n">
        <v>60</v>
      </c>
      <c r="F9" s="6" t="n">
        <v>58</v>
      </c>
      <c r="G9" s="6" t="n">
        <v>52</v>
      </c>
      <c r="H9" s="6" t="n">
        <v>62</v>
      </c>
      <c r="I9" s="6" t="n">
        <f aca="false">D9+E9+F9+G9+H9</f>
        <v>287</v>
      </c>
      <c r="J9" s="6" t="n">
        <f aca="false">I9/5</f>
        <v>57.4</v>
      </c>
      <c r="K9" s="6" t="s">
        <v>35</v>
      </c>
      <c r="L9" s="6" t="s">
        <v>16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14</v>
      </c>
      <c r="D10" s="3" t="n">
        <v>38</v>
      </c>
      <c r="E10" s="3" t="n">
        <v>42</v>
      </c>
      <c r="F10" s="3" t="n">
        <v>35</v>
      </c>
      <c r="G10" s="3" t="n">
        <v>40</v>
      </c>
      <c r="H10" s="3" t="n">
        <v>45</v>
      </c>
      <c r="I10" s="3" t="n">
        <f aca="false">D10+E10+F10+G10+H10</f>
        <v>200</v>
      </c>
      <c r="J10" s="3" t="n">
        <f aca="false">I10/5</f>
        <v>40</v>
      </c>
      <c r="K10" s="8" t="s">
        <v>19</v>
      </c>
      <c r="L10" s="8" t="s">
        <v>16</v>
      </c>
    </row>
    <row r="11" customFormat="false" ht="15" hidden="false" customHeight="false" outlineLevel="0" collapsed="false">
      <c r="A11" s="5" t="s">
        <v>38</v>
      </c>
      <c r="B11" s="5" t="s">
        <v>39</v>
      </c>
      <c r="C11" s="5" t="s">
        <v>19</v>
      </c>
      <c r="D11" s="6" t="n">
        <v>95</v>
      </c>
      <c r="E11" s="6" t="n">
        <v>97</v>
      </c>
      <c r="F11" s="6" t="n">
        <v>92</v>
      </c>
      <c r="G11" s="6" t="n">
        <v>94</v>
      </c>
      <c r="H11" s="6" t="n">
        <v>98</v>
      </c>
      <c r="I11" s="6" t="n">
        <f aca="false">D11+E11+F11+G11+H11</f>
        <v>476</v>
      </c>
      <c r="J11" s="6" t="n">
        <f aca="false">I11/5</f>
        <v>95.2</v>
      </c>
      <c r="K11" s="7" t="s">
        <v>20</v>
      </c>
      <c r="L11" s="6" t="s">
        <v>16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14</v>
      </c>
      <c r="D12" s="3" t="n">
        <v>70</v>
      </c>
      <c r="E12" s="3" t="n">
        <v>65</v>
      </c>
      <c r="F12" s="3" t="n">
        <v>72</v>
      </c>
      <c r="G12" s="3" t="n">
        <v>68</v>
      </c>
      <c r="H12" s="3" t="n">
        <v>75</v>
      </c>
      <c r="I12" s="3" t="n">
        <f aca="false">D12+E12+F12+G12+H12</f>
        <v>350</v>
      </c>
      <c r="J12" s="3" t="n">
        <f aca="false">I12/5</f>
        <v>70</v>
      </c>
      <c r="K12" s="3" t="s">
        <v>32</v>
      </c>
      <c r="L12" s="3" t="s">
        <v>16</v>
      </c>
    </row>
    <row r="13" customFormat="false" ht="15" hidden="false" customHeight="false" outlineLevel="0" collapsed="false">
      <c r="A13" s="5" t="s">
        <v>42</v>
      </c>
      <c r="B13" s="5" t="s">
        <v>43</v>
      </c>
      <c r="C13" s="5" t="s">
        <v>19</v>
      </c>
      <c r="D13" s="6" t="n">
        <v>83</v>
      </c>
      <c r="E13" s="6" t="n">
        <v>79</v>
      </c>
      <c r="F13" s="6" t="n">
        <v>88</v>
      </c>
      <c r="G13" s="6" t="n">
        <v>76</v>
      </c>
      <c r="H13" s="6" t="n">
        <v>82</v>
      </c>
      <c r="I13" s="6" t="n">
        <f aca="false">D13+E13+F13+G13+H13</f>
        <v>408</v>
      </c>
      <c r="J13" s="6" t="n">
        <f aca="false">I13/5</f>
        <v>81.6</v>
      </c>
      <c r="K13" s="7" t="s">
        <v>15</v>
      </c>
      <c r="L13" s="6" t="s">
        <v>16</v>
      </c>
    </row>
    <row r="14" customFormat="false" ht="15" hidden="false" customHeight="false" outlineLevel="0" collapsed="false">
      <c r="A14" s="2" t="s">
        <v>44</v>
      </c>
      <c r="B14" s="2" t="s">
        <v>45</v>
      </c>
      <c r="C14" s="2" t="s">
        <v>14</v>
      </c>
      <c r="D14" s="3" t="n">
        <v>62</v>
      </c>
      <c r="E14" s="3" t="n">
        <v>58</v>
      </c>
      <c r="F14" s="3" t="n">
        <v>66</v>
      </c>
      <c r="G14" s="3" t="n">
        <v>60</v>
      </c>
      <c r="H14" s="3" t="n">
        <v>68</v>
      </c>
      <c r="I14" s="3" t="n">
        <f aca="false">D14+E14+F14+G14+H14</f>
        <v>314</v>
      </c>
      <c r="J14" s="3" t="n">
        <f aca="false">I14/5</f>
        <v>62.8</v>
      </c>
      <c r="K14" s="3" t="s">
        <v>23</v>
      </c>
      <c r="L14" s="3" t="s">
        <v>16</v>
      </c>
    </row>
    <row r="15" customFormat="false" ht="15" hidden="false" customHeight="false" outlineLevel="0" collapsed="false">
      <c r="A15" s="5" t="s">
        <v>46</v>
      </c>
      <c r="B15" s="5" t="s">
        <v>47</v>
      </c>
      <c r="C15" s="5" t="s">
        <v>19</v>
      </c>
      <c r="D15" s="6" t="n">
        <v>48</v>
      </c>
      <c r="E15" s="6" t="n">
        <v>52</v>
      </c>
      <c r="F15" s="6" t="n">
        <v>45</v>
      </c>
      <c r="G15" s="6" t="n">
        <v>50</v>
      </c>
      <c r="H15" s="6" t="n">
        <v>55</v>
      </c>
      <c r="I15" s="6" t="n">
        <f aca="false">D15+E15+F15+G15+H15</f>
        <v>250</v>
      </c>
      <c r="J15" s="6" t="n">
        <f aca="false">I15/5</f>
        <v>50</v>
      </c>
      <c r="K15" s="6" t="s">
        <v>35</v>
      </c>
      <c r="L15" s="6" t="s">
        <v>16</v>
      </c>
    </row>
    <row r="16" customFormat="false" ht="15" hidden="false" customHeight="false" outlineLevel="0" collapsed="false">
      <c r="A16" s="2" t="s">
        <v>48</v>
      </c>
      <c r="B16" s="2" t="s">
        <v>49</v>
      </c>
      <c r="C16" s="2" t="s">
        <v>14</v>
      </c>
      <c r="D16" s="3" t="n">
        <v>77</v>
      </c>
      <c r="E16" s="3" t="n">
        <v>80</v>
      </c>
      <c r="F16" s="3" t="n">
        <v>74</v>
      </c>
      <c r="G16" s="3" t="n">
        <v>78</v>
      </c>
      <c r="H16" s="3" t="n">
        <v>82</v>
      </c>
      <c r="I16" s="3" t="n">
        <f aca="false">D16+E16+F16+G16+H16</f>
        <v>391</v>
      </c>
      <c r="J16" s="3" t="n">
        <f aca="false">I16/5</f>
        <v>78.2</v>
      </c>
      <c r="K16" s="3" t="s">
        <v>32</v>
      </c>
      <c r="L16" s="3" t="s">
        <v>16</v>
      </c>
    </row>
    <row r="17" customFormat="false" ht="15" hidden="false" customHeight="false" outlineLevel="0" collapsed="false">
      <c r="A17" s="5" t="s">
        <v>50</v>
      </c>
      <c r="B17" s="5" t="s">
        <v>51</v>
      </c>
      <c r="C17" s="5" t="s">
        <v>19</v>
      </c>
      <c r="D17" s="6" t="n">
        <v>90</v>
      </c>
      <c r="E17" s="6" t="n">
        <v>86</v>
      </c>
      <c r="F17" s="6" t="n">
        <v>93</v>
      </c>
      <c r="G17" s="6" t="n">
        <v>88</v>
      </c>
      <c r="H17" s="6" t="n">
        <v>91</v>
      </c>
      <c r="I17" s="6" t="n">
        <f aca="false">D17+E17+F17+G17+H17</f>
        <v>448</v>
      </c>
      <c r="J17" s="6" t="n">
        <f aca="false">I17/5</f>
        <v>89.6</v>
      </c>
      <c r="K17" s="7" t="s">
        <v>15</v>
      </c>
      <c r="L17" s="6" t="s">
        <v>16</v>
      </c>
    </row>
    <row r="18" customFormat="false" ht="15" hidden="false" customHeight="false" outlineLevel="0" collapsed="false">
      <c r="A18" s="2" t="s">
        <v>52</v>
      </c>
      <c r="B18" s="2" t="s">
        <v>53</v>
      </c>
      <c r="C18" s="2" t="s">
        <v>14</v>
      </c>
      <c r="D18" s="3" t="n">
        <v>53</v>
      </c>
      <c r="E18" s="3" t="n">
        <v>49</v>
      </c>
      <c r="F18" s="3" t="n">
        <v>57</v>
      </c>
      <c r="G18" s="3" t="n">
        <v>51</v>
      </c>
      <c r="H18" s="3" t="n">
        <v>59</v>
      </c>
      <c r="I18" s="3" t="n">
        <f aca="false">D18+E18+F18+G18+H18</f>
        <v>269</v>
      </c>
      <c r="J18" s="3" t="n">
        <f aca="false">I18/5</f>
        <v>53.8</v>
      </c>
      <c r="K18" s="3" t="s">
        <v>35</v>
      </c>
      <c r="L18" s="3" t="s">
        <v>16</v>
      </c>
    </row>
    <row r="19" customFormat="false" ht="15" hidden="false" customHeight="false" outlineLevel="0" collapsed="false">
      <c r="A19" s="5" t="s">
        <v>54</v>
      </c>
      <c r="B19" s="5" t="s">
        <v>55</v>
      </c>
      <c r="C19" s="5" t="s">
        <v>19</v>
      </c>
      <c r="D19" s="6" t="n">
        <v>81</v>
      </c>
      <c r="E19" s="6" t="n">
        <v>85</v>
      </c>
      <c r="F19" s="6" t="n">
        <v>79</v>
      </c>
      <c r="G19" s="6" t="n">
        <v>83</v>
      </c>
      <c r="H19" s="6" t="n">
        <v>87</v>
      </c>
      <c r="I19" s="6" t="n">
        <f aca="false">D19+E19+F19+G19+H19</f>
        <v>415</v>
      </c>
      <c r="J19" s="6" t="n">
        <f aca="false">I19/5</f>
        <v>83</v>
      </c>
      <c r="K19" s="7" t="s">
        <v>15</v>
      </c>
      <c r="L19" s="6" t="s">
        <v>16</v>
      </c>
    </row>
    <row r="20" customFormat="false" ht="15" hidden="false" customHeight="false" outlineLevel="0" collapsed="false">
      <c r="A20" s="2" t="s">
        <v>56</v>
      </c>
      <c r="B20" s="2" t="s">
        <v>57</v>
      </c>
      <c r="C20" s="2" t="s">
        <v>14</v>
      </c>
      <c r="D20" s="3" t="n">
        <v>67</v>
      </c>
      <c r="E20" s="3" t="n">
        <v>63</v>
      </c>
      <c r="F20" s="3" t="n">
        <v>70</v>
      </c>
      <c r="G20" s="3" t="n">
        <v>61</v>
      </c>
      <c r="H20" s="3" t="n">
        <v>72</v>
      </c>
      <c r="I20" s="3" t="n">
        <f aca="false">D20+E20+F20+G20+H20</f>
        <v>333</v>
      </c>
      <c r="J20" s="3" t="n">
        <f aca="false">I20/5</f>
        <v>66.6</v>
      </c>
      <c r="K20" s="3" t="s">
        <v>23</v>
      </c>
      <c r="L20" s="3" t="s">
        <v>16</v>
      </c>
    </row>
    <row r="21" customFormat="false" ht="15" hidden="false" customHeight="false" outlineLevel="0" collapsed="false">
      <c r="A21" s="5" t="s">
        <v>58</v>
      </c>
      <c r="B21" s="5" t="s">
        <v>59</v>
      </c>
      <c r="C21" s="5" t="s">
        <v>19</v>
      </c>
      <c r="D21" s="6" t="n">
        <v>74</v>
      </c>
      <c r="E21" s="6" t="n">
        <v>77</v>
      </c>
      <c r="F21" s="6" t="n">
        <v>71</v>
      </c>
      <c r="G21" s="6" t="n">
        <v>75</v>
      </c>
      <c r="H21" s="6" t="n">
        <v>79</v>
      </c>
      <c r="I21" s="6" t="n">
        <f aca="false">D21+E21+F21+G21+H21</f>
        <v>376</v>
      </c>
      <c r="J21" s="6" t="n">
        <f aca="false">I21/5</f>
        <v>75.2</v>
      </c>
      <c r="K21" s="6" t="s">
        <v>32</v>
      </c>
      <c r="L21" s="6" t="s">
        <v>16</v>
      </c>
    </row>
    <row r="22" customFormat="false" ht="15" hidden="false" customHeight="false" outlineLevel="0" collapsed="false">
      <c r="A22" s="2" t="s">
        <v>60</v>
      </c>
      <c r="B22" s="2" t="s">
        <v>61</v>
      </c>
      <c r="C22" s="2" t="s">
        <v>14</v>
      </c>
      <c r="D22" s="3" t="n">
        <v>42</v>
      </c>
      <c r="E22" s="3" t="n">
        <v>46</v>
      </c>
      <c r="F22" s="3" t="n">
        <v>39</v>
      </c>
      <c r="G22" s="3" t="n">
        <v>44</v>
      </c>
      <c r="H22" s="3" t="n">
        <v>50</v>
      </c>
      <c r="I22" s="3" t="n">
        <f aca="false">D22+E22+F22+G22+H22</f>
        <v>221</v>
      </c>
      <c r="J22" s="3" t="n">
        <f aca="false">I22/5</f>
        <v>44.2</v>
      </c>
      <c r="K22" s="8" t="s">
        <v>19</v>
      </c>
      <c r="L22" s="8" t="s">
        <v>16</v>
      </c>
    </row>
    <row r="23" customFormat="false" ht="15" hidden="false" customHeight="false" outlineLevel="0" collapsed="false">
      <c r="A23" s="5" t="s">
        <v>62</v>
      </c>
      <c r="B23" s="5" t="s">
        <v>63</v>
      </c>
      <c r="C23" s="5" t="s">
        <v>19</v>
      </c>
      <c r="D23" s="6" t="n">
        <v>86</v>
      </c>
      <c r="E23" s="6" t="n">
        <v>90</v>
      </c>
      <c r="F23" s="6" t="n">
        <v>83</v>
      </c>
      <c r="G23" s="6" t="n">
        <v>87</v>
      </c>
      <c r="H23" s="6" t="n">
        <v>92</v>
      </c>
      <c r="I23" s="6" t="n">
        <f aca="false">D23+E23+F23+G23+H23</f>
        <v>438</v>
      </c>
      <c r="J23" s="6" t="n">
        <f aca="false">I23/5</f>
        <v>87.6</v>
      </c>
      <c r="K23" s="7" t="s">
        <v>15</v>
      </c>
      <c r="L23" s="6" t="s">
        <v>16</v>
      </c>
    </row>
    <row r="24" customFormat="false" ht="15" hidden="false" customHeight="false" outlineLevel="0" collapsed="false">
      <c r="A24" s="2" t="s">
        <v>64</v>
      </c>
      <c r="B24" s="2" t="s">
        <v>65</v>
      </c>
      <c r="C24" s="2" t="s">
        <v>14</v>
      </c>
      <c r="D24" s="3" t="n">
        <v>58</v>
      </c>
      <c r="E24" s="3" t="n">
        <v>54</v>
      </c>
      <c r="F24" s="3" t="n">
        <v>62</v>
      </c>
      <c r="G24" s="3" t="n">
        <v>56</v>
      </c>
      <c r="H24" s="3" t="n">
        <v>64</v>
      </c>
      <c r="I24" s="3" t="n">
        <f aca="false">D24+E24+F24+G24+H24</f>
        <v>294</v>
      </c>
      <c r="J24" s="3" t="n">
        <f aca="false">I24/5</f>
        <v>58.8</v>
      </c>
      <c r="K24" s="3" t="s">
        <v>35</v>
      </c>
      <c r="L24" s="3" t="s">
        <v>16</v>
      </c>
    </row>
    <row r="25" customFormat="false" ht="15" hidden="false" customHeight="false" outlineLevel="0" collapsed="false">
      <c r="A25" s="5" t="s">
        <v>66</v>
      </c>
      <c r="B25" s="5" t="s">
        <v>67</v>
      </c>
      <c r="C25" s="5" t="s">
        <v>19</v>
      </c>
      <c r="D25" s="6" t="n">
        <v>79</v>
      </c>
      <c r="E25" s="6" t="n">
        <v>75</v>
      </c>
      <c r="F25" s="6" t="n">
        <v>82</v>
      </c>
      <c r="G25" s="6" t="n">
        <v>73</v>
      </c>
      <c r="H25" s="6" t="n">
        <v>80</v>
      </c>
      <c r="I25" s="6" t="n">
        <f aca="false">D25+E25+F25+G25+H25</f>
        <v>389</v>
      </c>
      <c r="J25" s="6" t="n">
        <f aca="false">I25/5</f>
        <v>77.8</v>
      </c>
      <c r="K25" s="6" t="s">
        <v>32</v>
      </c>
      <c r="L25" s="6" t="s">
        <v>16</v>
      </c>
    </row>
    <row r="26" customFormat="false" ht="15" hidden="false" customHeight="false" outlineLevel="0" collapsed="false">
      <c r="A26" s="2" t="s">
        <v>68</v>
      </c>
      <c r="B26" s="2" t="s">
        <v>69</v>
      </c>
      <c r="C26" s="2" t="s">
        <v>14</v>
      </c>
      <c r="D26" s="3" t="n">
        <v>65</v>
      </c>
      <c r="E26" s="3" t="n">
        <v>61</v>
      </c>
      <c r="F26" s="3" t="n">
        <v>68</v>
      </c>
      <c r="G26" s="3" t="n">
        <v>63</v>
      </c>
      <c r="H26" s="3" t="n">
        <v>70</v>
      </c>
      <c r="I26" s="3" t="n">
        <f aca="false">D26+E26+F26+G26+H26</f>
        <v>327</v>
      </c>
      <c r="J26" s="3" t="n">
        <f aca="false">I26/5</f>
        <v>65.4</v>
      </c>
      <c r="K26" s="3" t="s">
        <v>23</v>
      </c>
      <c r="L26" s="3" t="s">
        <v>16</v>
      </c>
    </row>
    <row r="27" customFormat="false" ht="15" hidden="false" customHeight="false" outlineLevel="0" collapsed="false">
      <c r="A27" s="5" t="s">
        <v>70</v>
      </c>
      <c r="B27" s="5" t="s">
        <v>71</v>
      </c>
      <c r="C27" s="5" t="s">
        <v>19</v>
      </c>
      <c r="D27" s="6" t="n">
        <v>91</v>
      </c>
      <c r="E27" s="6" t="n">
        <v>94</v>
      </c>
      <c r="F27" s="6" t="n">
        <v>89</v>
      </c>
      <c r="G27" s="6" t="n">
        <v>92</v>
      </c>
      <c r="H27" s="6" t="n">
        <v>96</v>
      </c>
      <c r="I27" s="6" t="n">
        <f aca="false">D27+E27+F27+G27+H27</f>
        <v>462</v>
      </c>
      <c r="J27" s="6" t="n">
        <f aca="false">I27/5</f>
        <v>92.4</v>
      </c>
      <c r="K27" s="7" t="s">
        <v>20</v>
      </c>
      <c r="L27" s="6" t="s">
        <v>16</v>
      </c>
    </row>
    <row r="28" customFormat="false" ht="15" hidden="false" customHeight="false" outlineLevel="0" collapsed="false">
      <c r="A28" s="2" t="s">
        <v>72</v>
      </c>
      <c r="B28" s="2" t="s">
        <v>73</v>
      </c>
      <c r="C28" s="2" t="s">
        <v>14</v>
      </c>
      <c r="D28" s="3" t="n">
        <v>50</v>
      </c>
      <c r="E28" s="3" t="n">
        <v>47</v>
      </c>
      <c r="F28" s="3" t="n">
        <v>53</v>
      </c>
      <c r="G28" s="3" t="n">
        <v>49</v>
      </c>
      <c r="H28" s="3" t="n">
        <v>56</v>
      </c>
      <c r="I28" s="3" t="n">
        <f aca="false">D28+E28+F28+G28+H28</f>
        <v>255</v>
      </c>
      <c r="J28" s="3" t="n">
        <f aca="false">I28/5</f>
        <v>51</v>
      </c>
      <c r="K28" s="3" t="s">
        <v>35</v>
      </c>
      <c r="L28" s="3" t="s">
        <v>16</v>
      </c>
    </row>
    <row r="29" customFormat="false" ht="15" hidden="false" customHeight="false" outlineLevel="0" collapsed="false">
      <c r="A29" s="5" t="s">
        <v>74</v>
      </c>
      <c r="B29" s="5" t="s">
        <v>75</v>
      </c>
      <c r="C29" s="5" t="s">
        <v>19</v>
      </c>
      <c r="D29" s="6" t="n">
        <v>84</v>
      </c>
      <c r="E29" s="6" t="n">
        <v>88</v>
      </c>
      <c r="F29" s="6" t="n">
        <v>81</v>
      </c>
      <c r="G29" s="6" t="n">
        <v>85</v>
      </c>
      <c r="H29" s="6" t="n">
        <v>89</v>
      </c>
      <c r="I29" s="6" t="n">
        <f aca="false">D29+E29+F29+G29+H29</f>
        <v>427</v>
      </c>
      <c r="J29" s="6" t="n">
        <f aca="false">I29/5</f>
        <v>85.4</v>
      </c>
      <c r="K29" s="7" t="s">
        <v>15</v>
      </c>
      <c r="L29" s="6" t="s">
        <v>16</v>
      </c>
    </row>
    <row r="30" customFormat="false" ht="15" hidden="false" customHeight="false" outlineLevel="0" collapsed="false">
      <c r="A30" s="2" t="s">
        <v>76</v>
      </c>
      <c r="B30" s="2" t="s">
        <v>77</v>
      </c>
      <c r="C30" s="2" t="s">
        <v>14</v>
      </c>
      <c r="D30" s="3" t="n">
        <v>35</v>
      </c>
      <c r="E30" s="3" t="n">
        <v>38</v>
      </c>
      <c r="F30" s="3" t="n">
        <v>32</v>
      </c>
      <c r="G30" s="3" t="n">
        <v>36</v>
      </c>
      <c r="H30" s="3" t="n">
        <v>40</v>
      </c>
      <c r="I30" s="3" t="n">
        <f aca="false">D30+E30+F30+G30+H30</f>
        <v>181</v>
      </c>
      <c r="J30" s="3" t="n">
        <f aca="false">I30/5</f>
        <v>36.2</v>
      </c>
      <c r="K30" s="8" t="s">
        <v>19</v>
      </c>
      <c r="L30" s="8" t="s">
        <v>78</v>
      </c>
    </row>
    <row r="31" customFormat="false" ht="15" hidden="false" customHeight="false" outlineLevel="0" collapsed="false">
      <c r="A31" s="5" t="s">
        <v>79</v>
      </c>
      <c r="B31" s="5" t="s">
        <v>80</v>
      </c>
      <c r="C31" s="5" t="s">
        <v>19</v>
      </c>
      <c r="D31" s="6" t="n">
        <v>76</v>
      </c>
      <c r="E31" s="6" t="n">
        <v>72</v>
      </c>
      <c r="F31" s="6" t="n">
        <v>79</v>
      </c>
      <c r="G31" s="6" t="n">
        <v>70</v>
      </c>
      <c r="H31" s="6" t="n">
        <v>77</v>
      </c>
      <c r="I31" s="6" t="n">
        <f aca="false">D31+E31+F31+G31+H31</f>
        <v>374</v>
      </c>
      <c r="J31" s="6" t="n">
        <f aca="false">I31/5</f>
        <v>74.8</v>
      </c>
      <c r="K31" s="6" t="s">
        <v>32</v>
      </c>
      <c r="L31" s="6" t="s">
        <v>16</v>
      </c>
    </row>
    <row r="32" customFormat="false" ht="15" hidden="false" customHeight="false" outlineLevel="0" collapsed="false">
      <c r="A32" s="2" t="s">
        <v>81</v>
      </c>
      <c r="B32" s="2" t="s">
        <v>82</v>
      </c>
      <c r="C32" s="2" t="s">
        <v>14</v>
      </c>
      <c r="D32" s="3" t="n">
        <v>63</v>
      </c>
      <c r="E32" s="3" t="n">
        <v>59</v>
      </c>
      <c r="F32" s="3" t="n">
        <v>67</v>
      </c>
      <c r="G32" s="3" t="n">
        <v>61</v>
      </c>
      <c r="H32" s="3" t="n">
        <v>66</v>
      </c>
      <c r="I32" s="3" t="n">
        <f aca="false">D32+E32+F32+G32+H32</f>
        <v>316</v>
      </c>
      <c r="J32" s="3" t="n">
        <f aca="false">I32/5</f>
        <v>63.2</v>
      </c>
      <c r="K32" s="3" t="s">
        <v>23</v>
      </c>
      <c r="L32" s="3" t="s">
        <v>16</v>
      </c>
    </row>
    <row r="33" customFormat="false" ht="15" hidden="false" customHeight="false" outlineLevel="0" collapsed="false">
      <c r="A33" s="5" t="s">
        <v>83</v>
      </c>
      <c r="B33" s="5" t="s">
        <v>84</v>
      </c>
      <c r="C33" s="5" t="s">
        <v>19</v>
      </c>
      <c r="D33" s="6" t="n">
        <v>87</v>
      </c>
      <c r="E33" s="6" t="n">
        <v>83</v>
      </c>
      <c r="F33" s="6" t="n">
        <v>90</v>
      </c>
      <c r="G33" s="6" t="n">
        <v>81</v>
      </c>
      <c r="H33" s="6" t="n">
        <v>88</v>
      </c>
      <c r="I33" s="6" t="n">
        <f aca="false">D33+E33+F33+G33+H33</f>
        <v>429</v>
      </c>
      <c r="J33" s="6" t="n">
        <f aca="false">I33/5</f>
        <v>85.8</v>
      </c>
      <c r="K33" s="7" t="s">
        <v>15</v>
      </c>
      <c r="L33" s="6" t="s">
        <v>16</v>
      </c>
    </row>
    <row r="34" customFormat="false" ht="15" hidden="false" customHeight="false" outlineLevel="0" collapsed="false">
      <c r="A34" s="2" t="s">
        <v>85</v>
      </c>
      <c r="B34" s="2" t="s">
        <v>86</v>
      </c>
      <c r="C34" s="2" t="s">
        <v>14</v>
      </c>
      <c r="D34" s="3" t="n">
        <v>44</v>
      </c>
      <c r="E34" s="3" t="n">
        <v>48</v>
      </c>
      <c r="F34" s="3" t="n">
        <v>41</v>
      </c>
      <c r="G34" s="3" t="n">
        <v>46</v>
      </c>
      <c r="H34" s="3" t="n">
        <v>52</v>
      </c>
      <c r="I34" s="3" t="n">
        <f aca="false">D34+E34+F34+G34+H34</f>
        <v>231</v>
      </c>
      <c r="J34" s="3" t="n">
        <f aca="false">I34/5</f>
        <v>46.2</v>
      </c>
      <c r="K34" s="8" t="s">
        <v>19</v>
      </c>
      <c r="L34" s="8" t="s">
        <v>16</v>
      </c>
    </row>
    <row r="35" customFormat="false" ht="15" hidden="false" customHeight="false" outlineLevel="0" collapsed="false">
      <c r="A35" s="5" t="s">
        <v>87</v>
      </c>
      <c r="B35" s="5" t="s">
        <v>88</v>
      </c>
      <c r="C35" s="5" t="s">
        <v>19</v>
      </c>
      <c r="D35" s="6" t="n">
        <v>80</v>
      </c>
      <c r="E35" s="6" t="n">
        <v>84</v>
      </c>
      <c r="F35" s="6" t="n">
        <v>77</v>
      </c>
      <c r="G35" s="6" t="n">
        <v>82</v>
      </c>
      <c r="H35" s="6" t="n">
        <v>86</v>
      </c>
      <c r="I35" s="6" t="n">
        <f aca="false">D35+E35+F35+G35+H35</f>
        <v>409</v>
      </c>
      <c r="J35" s="6" t="n">
        <f aca="false">I35/5</f>
        <v>81.8</v>
      </c>
      <c r="K35" s="7" t="s">
        <v>15</v>
      </c>
      <c r="L35" s="6" t="s">
        <v>16</v>
      </c>
    </row>
    <row r="36" customFormat="false" ht="15" hidden="false" customHeight="false" outlineLevel="0" collapsed="false">
      <c r="A36" s="2" t="s">
        <v>89</v>
      </c>
      <c r="B36" s="2" t="s">
        <v>90</v>
      </c>
      <c r="C36" s="2" t="s">
        <v>14</v>
      </c>
      <c r="D36" s="3" t="n">
        <v>71</v>
      </c>
      <c r="E36" s="3" t="n">
        <v>67</v>
      </c>
      <c r="F36" s="3" t="n">
        <v>74</v>
      </c>
      <c r="G36" s="3" t="n">
        <v>65</v>
      </c>
      <c r="H36" s="3" t="n">
        <v>73</v>
      </c>
      <c r="I36" s="3" t="n">
        <f aca="false">D36+E36+F36+G36+H36</f>
        <v>350</v>
      </c>
      <c r="J36" s="3" t="n">
        <f aca="false">I36/5</f>
        <v>70</v>
      </c>
      <c r="K36" s="3" t="s">
        <v>32</v>
      </c>
      <c r="L36" s="3" t="s">
        <v>16</v>
      </c>
    </row>
    <row r="37" customFormat="false" ht="15" hidden="false" customHeight="false" outlineLevel="0" collapsed="false">
      <c r="A37" s="5" t="s">
        <v>91</v>
      </c>
      <c r="B37" s="5" t="s">
        <v>92</v>
      </c>
      <c r="C37" s="5" t="s">
        <v>19</v>
      </c>
      <c r="D37" s="6" t="n">
        <v>93</v>
      </c>
      <c r="E37" s="6" t="n">
        <v>96</v>
      </c>
      <c r="F37" s="6" t="n">
        <v>91</v>
      </c>
      <c r="G37" s="6" t="n">
        <v>94</v>
      </c>
      <c r="H37" s="6" t="n">
        <v>97</v>
      </c>
      <c r="I37" s="6" t="n">
        <f aca="false">D37+E37+F37+G37+H37</f>
        <v>471</v>
      </c>
      <c r="J37" s="6" t="n">
        <f aca="false">I37/5</f>
        <v>94.2</v>
      </c>
      <c r="K37" s="7" t="s">
        <v>20</v>
      </c>
      <c r="L37" s="6" t="s">
        <v>16</v>
      </c>
    </row>
    <row r="38" customFormat="false" ht="15" hidden="false" customHeight="false" outlineLevel="0" collapsed="false">
      <c r="A38" s="2" t="s">
        <v>93</v>
      </c>
      <c r="B38" s="2" t="s">
        <v>94</v>
      </c>
      <c r="C38" s="2" t="s">
        <v>14</v>
      </c>
      <c r="D38" s="3" t="n">
        <v>56</v>
      </c>
      <c r="E38" s="3" t="n">
        <v>52</v>
      </c>
      <c r="F38" s="3" t="n">
        <v>60</v>
      </c>
      <c r="G38" s="3" t="n">
        <v>54</v>
      </c>
      <c r="H38" s="3" t="n">
        <v>61</v>
      </c>
      <c r="I38" s="3" t="n">
        <f aca="false">D38+E38+F38+G38+H38</f>
        <v>283</v>
      </c>
      <c r="J38" s="3" t="n">
        <f aca="false">I38/5</f>
        <v>56.6</v>
      </c>
      <c r="K38" s="3" t="s">
        <v>35</v>
      </c>
      <c r="L38" s="3" t="s">
        <v>16</v>
      </c>
    </row>
    <row r="39" customFormat="false" ht="15" hidden="false" customHeight="false" outlineLevel="0" collapsed="false">
      <c r="A39" s="5" t="s">
        <v>95</v>
      </c>
      <c r="B39" s="5" t="s">
        <v>96</v>
      </c>
      <c r="C39" s="5" t="s">
        <v>19</v>
      </c>
      <c r="D39" s="6" t="n">
        <v>82</v>
      </c>
      <c r="E39" s="6" t="n">
        <v>78</v>
      </c>
      <c r="F39" s="6" t="n">
        <v>85</v>
      </c>
      <c r="G39" s="6" t="n">
        <v>76</v>
      </c>
      <c r="H39" s="6" t="n">
        <v>83</v>
      </c>
      <c r="I39" s="6" t="n">
        <f aca="false">D39+E39+F39+G39+H39</f>
        <v>404</v>
      </c>
      <c r="J39" s="6" t="n">
        <f aca="false">I39/5</f>
        <v>80.8</v>
      </c>
      <c r="K39" s="7" t="s">
        <v>15</v>
      </c>
      <c r="L39" s="6" t="s">
        <v>16</v>
      </c>
    </row>
    <row r="40" customFormat="false" ht="15" hidden="false" customHeight="false" outlineLevel="0" collapsed="false">
      <c r="A40" s="2" t="s">
        <v>97</v>
      </c>
      <c r="B40" s="2" t="s">
        <v>98</v>
      </c>
      <c r="C40" s="2" t="s">
        <v>14</v>
      </c>
      <c r="D40" s="3" t="n">
        <v>48</v>
      </c>
      <c r="E40" s="3" t="n">
        <v>51</v>
      </c>
      <c r="F40" s="3" t="n">
        <v>45</v>
      </c>
      <c r="G40" s="3" t="n">
        <v>49</v>
      </c>
      <c r="H40" s="3" t="n">
        <v>54</v>
      </c>
      <c r="I40" s="3" t="n">
        <f aca="false">D40+E40+F40+G40+H40</f>
        <v>247</v>
      </c>
      <c r="J40" s="3" t="n">
        <f aca="false">I40/5</f>
        <v>49.4</v>
      </c>
      <c r="K40" s="8" t="s">
        <v>19</v>
      </c>
      <c r="L40" s="8" t="s">
        <v>16</v>
      </c>
    </row>
    <row r="41" customFormat="false" ht="15" hidden="false" customHeight="false" outlineLevel="0" collapsed="false">
      <c r="A41" s="5" t="s">
        <v>99</v>
      </c>
      <c r="B41" s="5" t="s">
        <v>100</v>
      </c>
      <c r="C41" s="5" t="s">
        <v>19</v>
      </c>
      <c r="D41" s="6" t="n">
        <v>75</v>
      </c>
      <c r="E41" s="6" t="n">
        <v>79</v>
      </c>
      <c r="F41" s="6" t="n">
        <v>72</v>
      </c>
      <c r="G41" s="6" t="n">
        <v>77</v>
      </c>
      <c r="H41" s="6" t="n">
        <v>81</v>
      </c>
      <c r="I41" s="6" t="n">
        <f aca="false">D41+E41+F41+G41+H41</f>
        <v>384</v>
      </c>
      <c r="J41" s="6" t="n">
        <f aca="false">I41/5</f>
        <v>76.8</v>
      </c>
      <c r="K41" s="6" t="s">
        <v>32</v>
      </c>
      <c r="L41" s="6" t="s">
        <v>16</v>
      </c>
    </row>
    <row r="42" customFormat="false" ht="15" hidden="false" customHeight="false" outlineLevel="0" collapsed="false">
      <c r="A42" s="2" t="s">
        <v>101</v>
      </c>
      <c r="B42" s="2" t="s">
        <v>102</v>
      </c>
      <c r="C42" s="2" t="s">
        <v>14</v>
      </c>
      <c r="D42" s="3" t="n">
        <v>40</v>
      </c>
      <c r="E42" s="3" t="n">
        <v>43</v>
      </c>
      <c r="F42" s="3" t="n">
        <v>37</v>
      </c>
      <c r="G42" s="3" t="n">
        <v>41</v>
      </c>
      <c r="H42" s="3" t="n">
        <v>46</v>
      </c>
      <c r="I42" s="3" t="n">
        <f aca="false">D42+E42+F42+G42+H42</f>
        <v>207</v>
      </c>
      <c r="J42" s="3" t="n">
        <f aca="false">I42/5</f>
        <v>41.4</v>
      </c>
      <c r="K42" s="8" t="s">
        <v>19</v>
      </c>
      <c r="L42" s="8" t="s">
        <v>16</v>
      </c>
    </row>
    <row r="43" customFormat="false" ht="15" hidden="false" customHeight="false" outlineLevel="0" collapsed="false">
      <c r="A43" s="5" t="s">
        <v>103</v>
      </c>
      <c r="B43" s="5" t="s">
        <v>104</v>
      </c>
      <c r="C43" s="5" t="s">
        <v>19</v>
      </c>
      <c r="D43" s="6" t="n">
        <v>89</v>
      </c>
      <c r="E43" s="6" t="n">
        <v>85</v>
      </c>
      <c r="F43" s="6" t="n">
        <v>92</v>
      </c>
      <c r="G43" s="6" t="n">
        <v>83</v>
      </c>
      <c r="H43" s="6" t="n">
        <v>90</v>
      </c>
      <c r="I43" s="6" t="n">
        <f aca="false">D43+E43+F43+G43+H43</f>
        <v>439</v>
      </c>
      <c r="J43" s="6" t="n">
        <f aca="false">I43/5</f>
        <v>87.8</v>
      </c>
      <c r="K43" s="7" t="s">
        <v>15</v>
      </c>
      <c r="L43" s="6" t="s">
        <v>16</v>
      </c>
    </row>
    <row r="44" customFormat="false" ht="15" hidden="false" customHeight="false" outlineLevel="0" collapsed="false">
      <c r="A44" s="2" t="s">
        <v>105</v>
      </c>
      <c r="B44" s="2" t="s">
        <v>106</v>
      </c>
      <c r="C44" s="2" t="s">
        <v>14</v>
      </c>
      <c r="D44" s="3" t="n">
        <v>61</v>
      </c>
      <c r="E44" s="3" t="n">
        <v>57</v>
      </c>
      <c r="F44" s="3" t="n">
        <v>64</v>
      </c>
      <c r="G44" s="3" t="n">
        <v>59</v>
      </c>
      <c r="H44" s="3" t="n">
        <v>66</v>
      </c>
      <c r="I44" s="3" t="n">
        <f aca="false">D44+E44+F44+G44+H44</f>
        <v>307</v>
      </c>
      <c r="J44" s="3" t="n">
        <f aca="false">I44/5</f>
        <v>61.4</v>
      </c>
      <c r="K44" s="3" t="s">
        <v>23</v>
      </c>
      <c r="L44" s="3" t="s">
        <v>16</v>
      </c>
    </row>
    <row r="45" customFormat="false" ht="15" hidden="false" customHeight="false" outlineLevel="0" collapsed="false">
      <c r="A45" s="5" t="s">
        <v>107</v>
      </c>
      <c r="B45" s="5" t="s">
        <v>108</v>
      </c>
      <c r="C45" s="5" t="s">
        <v>19</v>
      </c>
      <c r="D45" s="6" t="n">
        <v>77</v>
      </c>
      <c r="E45" s="6" t="n">
        <v>81</v>
      </c>
      <c r="F45" s="6" t="n">
        <v>74</v>
      </c>
      <c r="G45" s="6" t="n">
        <v>79</v>
      </c>
      <c r="H45" s="6" t="n">
        <v>83</v>
      </c>
      <c r="I45" s="6" t="n">
        <f aca="false">D45+E45+F45+G45+H45</f>
        <v>394</v>
      </c>
      <c r="J45" s="6" t="n">
        <f aca="false">I45/5</f>
        <v>78.8</v>
      </c>
      <c r="K45" s="6" t="s">
        <v>32</v>
      </c>
      <c r="L45" s="6" t="s">
        <v>16</v>
      </c>
    </row>
    <row r="46" customFormat="false" ht="15" hidden="false" customHeight="false" outlineLevel="0" collapsed="false">
      <c r="A46" s="2" t="s">
        <v>109</v>
      </c>
      <c r="B46" s="2" t="s">
        <v>110</v>
      </c>
      <c r="C46" s="2" t="s">
        <v>14</v>
      </c>
      <c r="D46" s="3" t="n">
        <v>68</v>
      </c>
      <c r="E46" s="3" t="n">
        <v>64</v>
      </c>
      <c r="F46" s="3" t="n">
        <v>71</v>
      </c>
      <c r="G46" s="3" t="n">
        <v>62</v>
      </c>
      <c r="H46" s="3" t="n">
        <v>70</v>
      </c>
      <c r="I46" s="3" t="n">
        <f aca="false">D46+E46+F46+G46+H46</f>
        <v>335</v>
      </c>
      <c r="J46" s="3" t="n">
        <f aca="false">I46/5</f>
        <v>67</v>
      </c>
      <c r="K46" s="3" t="s">
        <v>23</v>
      </c>
      <c r="L46" s="3" t="s">
        <v>16</v>
      </c>
    </row>
    <row r="47" customFormat="false" ht="15" hidden="false" customHeight="false" outlineLevel="0" collapsed="false">
      <c r="A47" s="5" t="s">
        <v>111</v>
      </c>
      <c r="B47" s="5" t="s">
        <v>112</v>
      </c>
      <c r="C47" s="5" t="s">
        <v>19</v>
      </c>
      <c r="D47" s="6" t="n">
        <v>94</v>
      </c>
      <c r="E47" s="6" t="n">
        <v>91</v>
      </c>
      <c r="F47" s="6" t="n">
        <v>96</v>
      </c>
      <c r="G47" s="6" t="n">
        <v>89</v>
      </c>
      <c r="H47" s="6" t="n">
        <v>95</v>
      </c>
      <c r="I47" s="6" t="n">
        <f aca="false">D47+E47+F47+G47+H47</f>
        <v>465</v>
      </c>
      <c r="J47" s="6" t="n">
        <f aca="false">I47/5</f>
        <v>93</v>
      </c>
      <c r="K47" s="7" t="s">
        <v>20</v>
      </c>
      <c r="L47" s="6" t="s">
        <v>16</v>
      </c>
    </row>
    <row r="48" customFormat="false" ht="15" hidden="false" customHeight="false" outlineLevel="0" collapsed="false">
      <c r="A48" s="2" t="s">
        <v>113</v>
      </c>
      <c r="B48" s="2" t="s">
        <v>114</v>
      </c>
      <c r="C48" s="2" t="s">
        <v>14</v>
      </c>
      <c r="D48" s="3" t="n">
        <v>52</v>
      </c>
      <c r="E48" s="3" t="n">
        <v>49</v>
      </c>
      <c r="F48" s="3" t="n">
        <v>55</v>
      </c>
      <c r="G48" s="3" t="n">
        <v>47</v>
      </c>
      <c r="H48" s="3" t="n">
        <v>57</v>
      </c>
      <c r="I48" s="3" t="n">
        <f aca="false">D48+E48+F48+G48+H48</f>
        <v>260</v>
      </c>
      <c r="J48" s="3" t="n">
        <f aca="false">I48/5</f>
        <v>52</v>
      </c>
      <c r="K48" s="3" t="s">
        <v>35</v>
      </c>
      <c r="L48" s="3" t="s">
        <v>16</v>
      </c>
    </row>
    <row r="49" customFormat="false" ht="15" hidden="false" customHeight="false" outlineLevel="0" collapsed="false">
      <c r="A49" s="5" t="s">
        <v>115</v>
      </c>
      <c r="B49" s="5" t="s">
        <v>116</v>
      </c>
      <c r="C49" s="5" t="s">
        <v>19</v>
      </c>
      <c r="D49" s="6" t="n">
        <v>85</v>
      </c>
      <c r="E49" s="6" t="n">
        <v>89</v>
      </c>
      <c r="F49" s="6" t="n">
        <v>82</v>
      </c>
      <c r="G49" s="6" t="n">
        <v>87</v>
      </c>
      <c r="H49" s="6" t="n">
        <v>91</v>
      </c>
      <c r="I49" s="6" t="n">
        <f aca="false">D49+E49+F49+G49+H49</f>
        <v>434</v>
      </c>
      <c r="J49" s="6" t="n">
        <f aca="false">I49/5</f>
        <v>86.8</v>
      </c>
      <c r="K49" s="7" t="s">
        <v>15</v>
      </c>
      <c r="L49" s="6" t="s">
        <v>16</v>
      </c>
    </row>
    <row r="50" customFormat="false" ht="15" hidden="false" customHeight="false" outlineLevel="0" collapsed="false">
      <c r="A50" s="2" t="s">
        <v>117</v>
      </c>
      <c r="B50" s="2" t="s">
        <v>118</v>
      </c>
      <c r="C50" s="2" t="s">
        <v>14</v>
      </c>
      <c r="D50" s="3" t="n">
        <v>43</v>
      </c>
      <c r="E50" s="3" t="n">
        <v>46</v>
      </c>
      <c r="F50" s="3" t="n">
        <v>40</v>
      </c>
      <c r="G50" s="3" t="n">
        <v>44</v>
      </c>
      <c r="H50" s="3" t="n">
        <v>49</v>
      </c>
      <c r="I50" s="3" t="n">
        <f aca="false">D50+E50+F50+G50+H50</f>
        <v>222</v>
      </c>
      <c r="J50" s="3" t="n">
        <f aca="false">I50/5</f>
        <v>44.4</v>
      </c>
      <c r="K50" s="8" t="s">
        <v>19</v>
      </c>
      <c r="L50" s="8" t="s">
        <v>16</v>
      </c>
    </row>
    <row r="51" customFormat="false" ht="15" hidden="false" customHeight="false" outlineLevel="0" collapsed="false">
      <c r="A51" s="5" t="s">
        <v>119</v>
      </c>
      <c r="B51" s="5" t="s">
        <v>120</v>
      </c>
      <c r="C51" s="5" t="s">
        <v>19</v>
      </c>
      <c r="D51" s="6" t="n">
        <v>78</v>
      </c>
      <c r="E51" s="6" t="n">
        <v>74</v>
      </c>
      <c r="F51" s="6" t="n">
        <v>81</v>
      </c>
      <c r="G51" s="6" t="n">
        <v>72</v>
      </c>
      <c r="H51" s="6" t="n">
        <v>80</v>
      </c>
      <c r="I51" s="6" t="n">
        <f aca="false">D51+E51+F51+G51+H51</f>
        <v>385</v>
      </c>
      <c r="J51" s="6" t="n">
        <f aca="false">I51/5</f>
        <v>77</v>
      </c>
      <c r="K51" s="6" t="s">
        <v>32</v>
      </c>
      <c r="L51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9" t="s">
        <v>121</v>
      </c>
    </row>
    <row r="3" customFormat="false" ht="15" hidden="false" customHeight="false" outlineLevel="0" collapsed="false">
      <c r="A3" s="10" t="s">
        <v>122</v>
      </c>
      <c r="B3" s="10" t="s">
        <v>123</v>
      </c>
      <c r="C3" s="10" t="s">
        <v>124</v>
      </c>
      <c r="D3" s="10" t="s">
        <v>9</v>
      </c>
      <c r="E3" s="10" t="s">
        <v>125</v>
      </c>
      <c r="F3" s="10" t="s">
        <v>126</v>
      </c>
      <c r="G3" s="10" t="s">
        <v>127</v>
      </c>
    </row>
    <row r="4" customFormat="false" ht="15" hidden="false" customHeight="false" outlineLevel="0" collapsed="false">
      <c r="A4" s="2" t="s">
        <v>3</v>
      </c>
      <c r="B4" s="3" t="n">
        <f aca="false">MIN('Student Marks'!D2:D51)</f>
        <v>35</v>
      </c>
      <c r="C4" s="3" t="n">
        <f aca="false">MAX('Student Marks'!D2:D51)</f>
        <v>95</v>
      </c>
      <c r="D4" s="3" t="n">
        <f aca="false">ROUND(AVERAGE('Student Marks'!D2:D51),1)</f>
        <v>69.3</v>
      </c>
      <c r="E4" s="3" t="n">
        <f aca="false">COUNTIF('Student Marks'!D2:D51,"&gt;="&amp;40)</f>
        <v>48</v>
      </c>
      <c r="F4" s="3" t="n">
        <f aca="false">COUNTIF('Student Marks'!D2:D51,"&lt;40")</f>
        <v>2</v>
      </c>
      <c r="G4" s="3" t="n">
        <f aca="false">ROUND(COUNTIF('Student Marks'!D2:D51,"&gt;="&amp;40)/50*100,1)</f>
        <v>96</v>
      </c>
    </row>
    <row r="5" customFormat="false" ht="15" hidden="false" customHeight="false" outlineLevel="0" collapsed="false">
      <c r="A5" s="5" t="s">
        <v>4</v>
      </c>
      <c r="B5" s="6" t="n">
        <f aca="false">MIN('Student Marks'!E2:E51)</f>
        <v>38</v>
      </c>
      <c r="C5" s="6" t="n">
        <f aca="false">MAX('Student Marks'!E2:E51)</f>
        <v>97</v>
      </c>
      <c r="D5" s="6" t="n">
        <f aca="false">ROUND(AVERAGE('Student Marks'!E2:E51),1)</f>
        <v>68.9</v>
      </c>
      <c r="E5" s="6" t="n">
        <f aca="false">COUNTIF('Student Marks'!E2:E51,"&gt;="&amp;40)</f>
        <v>49</v>
      </c>
      <c r="F5" s="6" t="n">
        <f aca="false">COUNTIF('Student Marks'!E2:E51,"&lt;40")</f>
        <v>1</v>
      </c>
      <c r="G5" s="6" t="n">
        <f aca="false">ROUND(COUNTIF('Student Marks'!E2:E51,"&gt;="&amp;40)/50*100,1)</f>
        <v>98</v>
      </c>
    </row>
    <row r="6" customFormat="false" ht="15" hidden="false" customHeight="false" outlineLevel="0" collapsed="false">
      <c r="A6" s="2" t="s">
        <v>5</v>
      </c>
      <c r="B6" s="3" t="n">
        <f aca="false">MIN('Student Marks'!F2:F51)</f>
        <v>32</v>
      </c>
      <c r="C6" s="3" t="n">
        <f aca="false">MAX('Student Marks'!F2:F51)</f>
        <v>96</v>
      </c>
      <c r="D6" s="3" t="n">
        <f aca="false">ROUND(AVERAGE('Student Marks'!F2:F51),1)</f>
        <v>69.7</v>
      </c>
      <c r="E6" s="3" t="n">
        <f aca="false">COUNTIF('Student Marks'!F2:F51,"&gt;="&amp;40)</f>
        <v>46</v>
      </c>
      <c r="F6" s="3" t="n">
        <f aca="false">COUNTIF('Student Marks'!F2:F51,"&lt;40")</f>
        <v>4</v>
      </c>
      <c r="G6" s="3" t="n">
        <f aca="false">ROUND(COUNTIF('Student Marks'!F2:F51,"&gt;="&amp;40)/50*100,1)</f>
        <v>92</v>
      </c>
    </row>
    <row r="7" customFormat="false" ht="15" hidden="false" customHeight="false" outlineLevel="0" collapsed="false">
      <c r="A7" s="5" t="s">
        <v>6</v>
      </c>
      <c r="B7" s="6" t="n">
        <f aca="false">MIN('Student Marks'!G2:G51)</f>
        <v>36</v>
      </c>
      <c r="C7" s="6" t="n">
        <f aca="false">MAX('Student Marks'!G2:G51)</f>
        <v>94</v>
      </c>
      <c r="D7" s="6" t="n">
        <f aca="false">ROUND(AVERAGE('Student Marks'!G2:G51),1)</f>
        <v>67.5</v>
      </c>
      <c r="E7" s="6" t="n">
        <f aca="false">COUNTIF('Student Marks'!G2:G51,"&gt;="&amp;40)</f>
        <v>49</v>
      </c>
      <c r="F7" s="6" t="n">
        <f aca="false">COUNTIF('Student Marks'!G2:G51,"&lt;40")</f>
        <v>1</v>
      </c>
      <c r="G7" s="6" t="n">
        <f aca="false">ROUND(COUNTIF('Student Marks'!G2:G51,"&gt;="&amp;40)/50*100,1)</f>
        <v>98</v>
      </c>
    </row>
    <row r="8" customFormat="false" ht="15" hidden="false" customHeight="false" outlineLevel="0" collapsed="false">
      <c r="A8" s="2" t="s">
        <v>7</v>
      </c>
      <c r="B8" s="3" t="n">
        <f aca="false">MIN('Student Marks'!H2:H51)</f>
        <v>40</v>
      </c>
      <c r="C8" s="3" t="n">
        <f aca="false">MAX('Student Marks'!H2:H51)</f>
        <v>98</v>
      </c>
      <c r="D8" s="3" t="n">
        <f aca="false">ROUND(AVERAGE('Student Marks'!H2:H51),1)</f>
        <v>73.9</v>
      </c>
      <c r="E8" s="3" t="n">
        <f aca="false">COUNTIF('Student Marks'!H2:H51,"&gt;="&amp;40)</f>
        <v>50</v>
      </c>
      <c r="F8" s="3" t="n">
        <f aca="false">COUNTIF('Student Marks'!H2:H51,"&lt;40")</f>
        <v>0</v>
      </c>
      <c r="G8" s="3" t="n">
        <f aca="false">ROUND(COUNTIF('Student Marks'!H2:H51,"&gt;="&amp;40)/50*100,1)</f>
        <v>100</v>
      </c>
    </row>
    <row r="10" customFormat="false" ht="15" hidden="false" customHeight="false" outlineLevel="0" collapsed="false">
      <c r="A10" s="11" t="s">
        <v>128</v>
      </c>
    </row>
    <row r="11" customFormat="false" ht="15" hidden="false" customHeight="false" outlineLevel="0" collapsed="false">
      <c r="A11" s="12" t="s">
        <v>129</v>
      </c>
      <c r="B11" s="13" t="n">
        <f aca="false">COUNTA('Student Marks'!A2:A51)</f>
        <v>50</v>
      </c>
    </row>
    <row r="12" customFormat="false" ht="15" hidden="false" customHeight="false" outlineLevel="0" collapsed="false">
      <c r="A12" s="12" t="s">
        <v>130</v>
      </c>
      <c r="B12" s="13" t="n">
        <f aca="false">COUNTIF('Student Marks'!L2:L51,"Pass")</f>
        <v>49</v>
      </c>
    </row>
    <row r="13" customFormat="false" ht="15" hidden="false" customHeight="false" outlineLevel="0" collapsed="false">
      <c r="A13" s="12" t="s">
        <v>131</v>
      </c>
      <c r="B13" s="13" t="n">
        <f aca="false">COUNTIF('Student Marks'!L2:L51,"Fail")</f>
        <v>1</v>
      </c>
    </row>
    <row r="14" customFormat="false" ht="15" hidden="false" customHeight="false" outlineLevel="0" collapsed="false">
      <c r="A14" s="12" t="s">
        <v>132</v>
      </c>
      <c r="B14" s="13" t="n">
        <f aca="false">ROUND(COUNTIF('Student Marks'!L2:L51,"Pass")/50*100,1)</f>
        <v>98</v>
      </c>
    </row>
    <row r="15" customFormat="false" ht="15" hidden="false" customHeight="false" outlineLevel="0" collapsed="false">
      <c r="A15" s="12" t="s">
        <v>133</v>
      </c>
      <c r="B15" s="13" t="n">
        <f aca="false">ROUND(AVERAGE('Student Marks'!J2:J51),2)</f>
        <v>69.87</v>
      </c>
    </row>
    <row r="16" customFormat="false" ht="15" hidden="false" customHeight="false" outlineLevel="0" collapsed="false">
      <c r="A16" s="12" t="s">
        <v>134</v>
      </c>
      <c r="B16" s="13" t="n">
        <f aca="false">MAX('Student Marks'!J2:J51)</f>
        <v>95.2</v>
      </c>
    </row>
    <row r="17" customFormat="false" ht="15" hidden="false" customHeight="false" outlineLevel="0" collapsed="false">
      <c r="A17" s="12" t="s">
        <v>135</v>
      </c>
      <c r="B17" s="13" t="n">
        <f aca="false">MIN('Student Marks'!J2:J51)</f>
        <v>36.2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0" t="s">
        <v>122</v>
      </c>
      <c r="B1" s="10" t="s">
        <v>136</v>
      </c>
      <c r="C1" s="10" t="s">
        <v>137</v>
      </c>
      <c r="D1" s="10" t="s">
        <v>138</v>
      </c>
    </row>
    <row r="2" customFormat="false" ht="15" hidden="false" customHeight="false" outlineLevel="0" collapsed="false">
      <c r="A2" s="12" t="s">
        <v>3</v>
      </c>
      <c r="B2" s="14" t="n">
        <v>72</v>
      </c>
      <c r="C2" s="14" t="n">
        <v>75</v>
      </c>
      <c r="D2" s="14" t="n">
        <v>78</v>
      </c>
    </row>
    <row r="3" customFormat="false" ht="15" hidden="false" customHeight="false" outlineLevel="0" collapsed="false">
      <c r="A3" s="12" t="s">
        <v>4</v>
      </c>
      <c r="B3" s="14" t="n">
        <v>64</v>
      </c>
      <c r="C3" s="14" t="n">
        <v>67</v>
      </c>
      <c r="D3" s="14" t="n">
        <v>69</v>
      </c>
    </row>
    <row r="4" customFormat="false" ht="15" hidden="false" customHeight="false" outlineLevel="0" collapsed="false">
      <c r="A4" s="12" t="s">
        <v>5</v>
      </c>
      <c r="B4" s="14" t="n">
        <v>70</v>
      </c>
      <c r="C4" s="14" t="n">
        <v>72</v>
      </c>
      <c r="D4" s="14" t="n">
        <v>74</v>
      </c>
    </row>
    <row r="5" customFormat="false" ht="15" hidden="false" customHeight="false" outlineLevel="0" collapsed="false">
      <c r="A5" s="12" t="s">
        <v>6</v>
      </c>
      <c r="B5" s="14" t="n">
        <v>60</v>
      </c>
      <c r="C5" s="14" t="n">
        <v>62</v>
      </c>
      <c r="D5" s="14" t="n">
        <v>65</v>
      </c>
    </row>
    <row r="6" customFormat="false" ht="15" hidden="false" customHeight="false" outlineLevel="0" collapsed="false">
      <c r="A6" s="12" t="s">
        <v>7</v>
      </c>
      <c r="B6" s="14" t="n">
        <v>75</v>
      </c>
      <c r="C6" s="14" t="n">
        <v>79</v>
      </c>
      <c r="D6" s="14" t="n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2026-05-09T11:56:37Z</dcterms:created>
  <dc:creator>openpyxl</dc:creator>
  <dc:description/>
  <dc:language>en-US</dc:language>
  <cp:lastModifiedBy/>
  <dcterms:modified xsi:type="dcterms:W3CDTF">2026-05-09T11:56:37Z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